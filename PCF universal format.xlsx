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\PCF universal converter\"/>
    </mc:Choice>
  </mc:AlternateContent>
  <xr:revisionPtr revIDLastSave="0" documentId="13_ncr:1_{5D093D6E-64CB-4AEB-AF38-5E3816756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<sst xmlns="http://schemas.openxmlformats.org/spreadsheetml/2006/main" count="209" uniqueCount="120">
  <si>
    <t>#</t>
  </si>
  <si>
    <t>CSV SEQ NO</t>
  </si>
  <si>
    <t>Type</t>
  </si>
  <si>
    <t>TEXT</t>
  </si>
  <si>
    <t>PIPELINE-REFERENCE</t>
  </si>
  <si>
    <t>REF NO.</t>
  </si>
  <si>
    <t>BORE</t>
  </si>
  <si>
    <t>EP1 COORDS</t>
  </si>
  <si>
    <t>EP2 COORDS</t>
  </si>
  <si>
    <t>CP COORDS</t>
  </si>
  <si>
    <t>BP COORDS</t>
  </si>
  <si>
    <t>SKEY</t>
  </si>
  <si>
    <t>SUPPORT COOR</t>
  </si>
  <si>
    <t>SUPPORT GUID</t>
  </si>
  <si>
    <t>CA 1</t>
  </si>
  <si>
    <t>CA 2</t>
  </si>
  <si>
    <t>CA 3</t>
  </si>
  <si>
    <t>CA 4</t>
  </si>
  <si>
    <t>CA 5</t>
  </si>
  <si>
    <t>CA 6</t>
  </si>
  <si>
    <t>CA 7</t>
  </si>
  <si>
    <t>CA 8</t>
  </si>
  <si>
    <t>CA 9</t>
  </si>
  <si>
    <t>CA 10</t>
  </si>
  <si>
    <t>CA 97</t>
  </si>
  <si>
    <t>CA 98</t>
  </si>
  <si>
    <t>Fixing Action</t>
  </si>
  <si>
    <t>LEN 1</t>
  </si>
  <si>
    <t>AXIS 1</t>
  </si>
  <si>
    <t>LEN 2</t>
  </si>
  <si>
    <t>AXIS 2</t>
  </si>
  <si>
    <t>LEN 3</t>
  </si>
  <si>
    <t>AXIS 3</t>
  </si>
  <si>
    <t>BRLEN</t>
  </si>
  <si>
    <t>DELTA_X</t>
  </si>
  <si>
    <t>DELTA_Y</t>
  </si>
  <si>
    <t>DELTA_Z</t>
  </si>
  <si>
    <t>DIAMETER</t>
  </si>
  <si>
    <t>WALL_THICK</t>
  </si>
  <si>
    <t>BEND_PTR</t>
  </si>
  <si>
    <t>RIGID_PTR</t>
  </si>
  <si>
    <t>INT_PTR</t>
  </si>
  <si>
    <t>running number</t>
  </si>
  <si>
    <t>numbered only where component ingo is there</t>
  </si>
  <si>
    <t>Tpe of component/cpmment/header</t>
  </si>
  <si>
    <t>applicable for header and message text.
Message-Square is COncatenation of componet info in a human understandable form</t>
  </si>
  <si>
    <t>Line No. when available (in header section its file name excluding extension</t>
  </si>
  <si>
    <t>Usually available if not same as CSVSEQ No.</t>
  </si>
  <si>
    <t>Start coordinate of an component</t>
  </si>
  <si>
    <t>end coodinate of an component</t>
  </si>
  <si>
    <t>If not available use EP1=EP2/2 (Vector average)</t>
  </si>
  <si>
    <t>Same as Ref No</t>
  </si>
  <si>
    <t>Same as CSV seq no if unavailable</t>
  </si>
  <si>
    <t>Can be OVERALAP, GAPFILLING like skeywords used for further processing</t>
  </si>
  <si>
    <t>(EP2-EP1) vector diff in Xaxis</t>
  </si>
  <si>
    <t>if len1&lt;&gt;0 then X will be either East or West based on Vecor direction</t>
  </si>
  <si>
    <t>similar to len1</t>
  </si>
  <si>
    <t>similar to Axis1</t>
  </si>
  <si>
    <t>BP-CP</t>
  </si>
  <si>
    <t>same as len1</t>
  </si>
  <si>
    <t>same as len2</t>
  </si>
  <si>
    <t>same as len3</t>
  </si>
  <si>
    <t>same as Bore</t>
  </si>
  <si>
    <t>Same as CA 4</t>
  </si>
  <si>
    <t>running number whenever To has a bend, means this is 1.</t>
  </si>
  <si>
    <t>running number whenever To has a flange/valve, means this is 1.</t>
  </si>
  <si>
    <t>running number whenever To has a Tee/Olet means this is 1.</t>
  </si>
  <si>
    <t xml:space="preserve">Optional </t>
  </si>
  <si>
    <t>Mandatory</t>
  </si>
  <si>
    <t>Optional (for header and Pipe)</t>
  </si>
  <si>
    <t>Mandatory (For all component used in EP,CP,BP,COOR)</t>
  </si>
  <si>
    <t>Mandatory (For all component except olet/supports)</t>
  </si>
  <si>
    <t>Mandatory (For Tee and bends)</t>
  </si>
  <si>
    <t>Mandatory (For Tee and Olets)</t>
  </si>
  <si>
    <t>Mandatory (For Valve/Flange/Olet/Tee/Bends)</t>
  </si>
  <si>
    <t>Mandatory for support (unlike other components which are elements, this is point)</t>
  </si>
  <si>
    <t>Optional</t>
  </si>
  <si>
    <t>Optional-Calculated</t>
  </si>
  <si>
    <t>ISOGEN-FILES</t>
  </si>
  <si>
    <t>ISOGEN.FLS</t>
  </si>
  <si>
    <t>—</t>
  </si>
  <si>
    <t>UNITS-BORE</t>
  </si>
  <si>
    <t>MM</t>
  </si>
  <si>
    <t>UNITS-CO-ORDS</t>
  </si>
  <si>
    <t>UNITS-WEIGHT</t>
  </si>
  <si>
    <t>KGS</t>
  </si>
  <si>
    <t>UNITS-BOLT-DIA</t>
  </si>
  <si>
    <t>UNITS-BOLT-LENGTH</t>
  </si>
  <si>
    <t>XXX Based on Line no. or file name excluding extension</t>
  </si>
  <si>
    <t>MESSAGE-SQUARE</t>
  </si>
  <si>
    <t>FLANGE</t>
  </si>
  <si>
    <t>=67130482/1666</t>
  </si>
  <si>
    <t>96400.0, 17986.4, 101968.0</t>
  </si>
  <si>
    <t>96400.0, 17840.4, 101968.0</t>
  </si>
  <si>
    <t>700 KPA</t>
  </si>
  <si>
    <t>120 C</t>
  </si>
  <si>
    <t>A106-B</t>
  </si>
  <si>
    <t>9.53 MM</t>
  </si>
  <si>
    <t>0 MM</t>
  </si>
  <si>
    <t>210 KG/M3</t>
  </si>
  <si>
    <t>100 KG</t>
  </si>
  <si>
    <t>1000 KG/M3</t>
  </si>
  <si>
    <t>1500 KPA</t>
  </si>
  <si>
    <t>South</t>
  </si>
  <si>
    <t>refer D11 for formula</t>
  </si>
  <si>
    <t>PIPE</t>
  </si>
  <si>
    <t>=67130482/1666_pipe</t>
  </si>
  <si>
    <t>96400.0, 17186.4, 101968.0</t>
  </si>
  <si>
    <t>SUPPORT</t>
  </si>
  <si>
    <t>=67130482/1558_pipe</t>
  </si>
  <si>
    <t>96400.0, 16586.4, 103677.0</t>
  </si>
  <si>
    <t>96400.0, 16586.4, 103827.0</t>
  </si>
  <si>
    <t>CA150</t>
  </si>
  <si>
    <t>Up</t>
  </si>
  <si>
    <t>TEE</t>
  </si>
  <si>
    <t>=67130482/1164</t>
  </si>
  <si>
    <t>95867.0, 16586.4, 104360.0</t>
  </si>
  <si>
    <t>96400.0, 16586.4, 104360.0</t>
  </si>
  <si>
    <t>=67130482/1670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</si>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</sst>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9.5"/>
      <color rgb="FF64748B"/>
      <name val="Courier New"/>
    </font>
    <font>
      <sz val="12"/>
      <color indexed="64"/>
      <name val="Calibri"/>
    </font>
    <font>
      <sz val="9.5"/>
      <color indexed="64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/>
    <xf numFmtId="0" fontId="3" fillId="2" borderId="0" xfId="0" applyFont="1" applyFill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"/>
  <sheetViews>
    <sheetView tabSelected="1" workbookViewId="0">
      <selection activeCell="D12" sqref="D12"/>
    </sheetView>
  </sheetViews>
  <sheetFormatPr defaultRowHeight="15" x14ac:dyDescent="0.25"/>
  <cols>
    <col min="3" max="5" width="24.5703125" customWidth="1"/>
    <col min="6" max="6" width="23.42578125" customWidth="1"/>
    <col min="7" max="24" width="9.140625" customWidth="1"/>
    <col min="25" max="27" width="24.5703125" customWidth="1"/>
    <col min="28" max="34" width="9.140625" customWidth="1"/>
    <col min="35" max="42" width="15.7109375" customWidth="1"/>
  </cols>
  <sheetData>
    <row r="1" spans="1:42" s="1" customFormat="1" ht="30" customHeigh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s="1" customFormat="1" ht="104.25" customHeight="1" x14ac:dyDescent="0.25">
      <c r="A2" s="2" t="s">
        <v>42</v>
      </c>
      <c r="B2" s="1" t="s">
        <v>43</v>
      </c>
      <c r="C2" s="2" t="s">
        <v>44</v>
      </c>
      <c r="D2" s="2" t="s">
        <v>45</v>
      </c>
      <c r="E2" s="1" t="s">
        <v>46</v>
      </c>
      <c r="F2" s="1" t="s">
        <v>47</v>
      </c>
      <c r="H2" s="1" t="s">
        <v>48</v>
      </c>
      <c r="I2" s="1" t="s">
        <v>49</v>
      </c>
      <c r="J2" s="1" t="s">
        <v>50</v>
      </c>
      <c r="Y2" s="2" t="s">
        <v>51</v>
      </c>
      <c r="Z2" s="2" t="s">
        <v>52</v>
      </c>
      <c r="AA2" s="2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56</v>
      </c>
      <c r="AG2" s="1" t="s">
        <v>57</v>
      </c>
      <c r="AH2" s="1" t="s">
        <v>58</v>
      </c>
      <c r="AI2" s="3" t="s">
        <v>59</v>
      </c>
      <c r="AJ2" s="3" t="s">
        <v>60</v>
      </c>
      <c r="AK2" s="3" t="s">
        <v>61</v>
      </c>
      <c r="AL2" s="3" t="s">
        <v>62</v>
      </c>
      <c r="AM2" s="3" t="s">
        <v>63</v>
      </c>
      <c r="AN2" s="3" t="s">
        <v>64</v>
      </c>
      <c r="AO2" s="3" t="s">
        <v>65</v>
      </c>
      <c r="AP2" s="3" t="s">
        <v>66</v>
      </c>
    </row>
    <row r="3" spans="1:42" s="1" customFormat="1" ht="104.25" customHeight="1" x14ac:dyDescent="0.25">
      <c r="A3" s="1" t="s">
        <v>67</v>
      </c>
      <c r="B3" s="1" t="s">
        <v>67</v>
      </c>
      <c r="C3" s="2" t="s">
        <v>68</v>
      </c>
      <c r="D3" s="1" t="s">
        <v>67</v>
      </c>
      <c r="E3" s="1" t="s">
        <v>69</v>
      </c>
      <c r="F3" s="1" t="s">
        <v>67</v>
      </c>
      <c r="G3" s="2" t="s">
        <v>70</v>
      </c>
      <c r="H3" s="2" t="s">
        <v>71</v>
      </c>
      <c r="I3" s="2" t="s">
        <v>71</v>
      </c>
      <c r="J3" s="2" t="s">
        <v>72</v>
      </c>
      <c r="K3" s="2" t="s">
        <v>73</v>
      </c>
      <c r="L3" s="2" t="s">
        <v>74</v>
      </c>
      <c r="M3" s="1" t="s">
        <v>75</v>
      </c>
      <c r="N3" s="1" t="s">
        <v>67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2" t="s">
        <v>76</v>
      </c>
      <c r="Z3" s="2" t="s">
        <v>76</v>
      </c>
      <c r="AA3" s="2" t="s">
        <v>76</v>
      </c>
      <c r="AB3" s="2" t="s">
        <v>77</v>
      </c>
      <c r="AC3" s="2" t="s">
        <v>77</v>
      </c>
      <c r="AD3" s="2" t="s">
        <v>77</v>
      </c>
      <c r="AE3" s="2" t="s">
        <v>77</v>
      </c>
      <c r="AF3" s="2" t="s">
        <v>77</v>
      </c>
      <c r="AG3" s="2" t="s">
        <v>77</v>
      </c>
      <c r="AH3" s="2" t="s">
        <v>77</v>
      </c>
      <c r="AI3" s="2" t="s">
        <v>77</v>
      </c>
      <c r="AJ3" s="2" t="s">
        <v>77</v>
      </c>
      <c r="AK3" s="2" t="s">
        <v>77</v>
      </c>
      <c r="AL3" s="2" t="s">
        <v>77</v>
      </c>
      <c r="AM3" s="2" t="s">
        <v>77</v>
      </c>
      <c r="AN3" s="2" t="s">
        <v>77</v>
      </c>
      <c r="AO3" s="2" t="s">
        <v>77</v>
      </c>
      <c r="AP3" s="2" t="s">
        <v>77</v>
      </c>
    </row>
    <row r="4" spans="1:42" x14ac:dyDescent="0.25">
      <c r="A4" s="4">
        <v>1</v>
      </c>
      <c r="B4" s="4"/>
      <c r="C4" s="4" t="s">
        <v>78</v>
      </c>
      <c r="D4" s="4" t="s">
        <v>79</v>
      </c>
      <c r="E4" s="4"/>
      <c r="F4" s="1"/>
      <c r="G4" s="1"/>
      <c r="H4" s="1"/>
      <c r="I4" s="1"/>
      <c r="J4" s="1"/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4" t="s">
        <v>80</v>
      </c>
      <c r="Z4" s="4" t="s">
        <v>80</v>
      </c>
      <c r="AA4" s="5"/>
      <c r="AB4" s="1"/>
      <c r="AC4" s="1"/>
      <c r="AD4" s="1"/>
      <c r="AE4" s="1"/>
      <c r="AF4" s="1"/>
      <c r="AG4" s="1"/>
      <c r="AH4" s="1"/>
    </row>
    <row r="5" spans="1:42" x14ac:dyDescent="0.25">
      <c r="A5" s="4">
        <v>2</v>
      </c>
      <c r="B5" s="4"/>
      <c r="C5" s="4" t="s">
        <v>81</v>
      </c>
      <c r="D5" s="4" t="s">
        <v>82</v>
      </c>
      <c r="E5" s="4"/>
      <c r="F5" s="1"/>
      <c r="G5" s="1"/>
      <c r="H5" s="1"/>
      <c r="I5" s="1"/>
      <c r="J5" s="1"/>
      <c r="K5" s="1"/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  <c r="Y5" s="4" t="s">
        <v>80</v>
      </c>
      <c r="Z5" s="4" t="s">
        <v>80</v>
      </c>
      <c r="AA5" s="5"/>
      <c r="AB5" s="1"/>
      <c r="AC5" s="1"/>
      <c r="AD5" s="1"/>
      <c r="AE5" s="1"/>
      <c r="AF5" s="1"/>
      <c r="AG5" s="1"/>
      <c r="AH5" s="1"/>
    </row>
    <row r="6" spans="1:42" x14ac:dyDescent="0.25">
      <c r="A6" s="4">
        <v>3</v>
      </c>
      <c r="B6" s="4"/>
      <c r="C6" s="4" t="s">
        <v>83</v>
      </c>
      <c r="D6" s="4" t="s">
        <v>82</v>
      </c>
      <c r="E6" s="4"/>
      <c r="F6" s="1"/>
      <c r="G6" s="1"/>
      <c r="H6" s="1"/>
      <c r="I6" s="1"/>
      <c r="J6" s="1"/>
      <c r="K6" s="1"/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1"/>
      <c r="Y6" s="4" t="s">
        <v>80</v>
      </c>
      <c r="Z6" s="4" t="s">
        <v>80</v>
      </c>
      <c r="AA6" s="5"/>
      <c r="AB6" s="1"/>
      <c r="AC6" s="1"/>
      <c r="AD6" s="1"/>
      <c r="AE6" s="1"/>
      <c r="AF6" s="1"/>
      <c r="AG6" s="1"/>
      <c r="AH6" s="1"/>
    </row>
    <row r="7" spans="1:42" x14ac:dyDescent="0.25">
      <c r="A7" s="4">
        <v>4</v>
      </c>
      <c r="B7" s="4"/>
      <c r="C7" s="4" t="s">
        <v>84</v>
      </c>
      <c r="D7" s="4" t="s">
        <v>85</v>
      </c>
      <c r="E7" s="4"/>
      <c r="F7" s="1"/>
      <c r="G7" s="1"/>
      <c r="H7" s="1"/>
      <c r="I7" s="1"/>
      <c r="J7" s="1"/>
      <c r="K7" s="1"/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1"/>
      <c r="Y7" s="4" t="s">
        <v>80</v>
      </c>
      <c r="Z7" s="4" t="s">
        <v>80</v>
      </c>
      <c r="AA7" s="5"/>
      <c r="AB7" s="1"/>
      <c r="AC7" s="1"/>
      <c r="AD7" s="1"/>
      <c r="AE7" s="1"/>
      <c r="AF7" s="1"/>
      <c r="AG7" s="1"/>
      <c r="AH7" s="1"/>
    </row>
    <row r="8" spans="1:42" x14ac:dyDescent="0.25">
      <c r="A8" s="4">
        <v>5</v>
      </c>
      <c r="B8" s="4"/>
      <c r="C8" s="4" t="s">
        <v>86</v>
      </c>
      <c r="D8" s="4" t="s">
        <v>82</v>
      </c>
      <c r="E8" s="4"/>
      <c r="F8" s="1"/>
      <c r="G8" s="1"/>
      <c r="H8" s="1"/>
      <c r="I8" s="1"/>
      <c r="J8" s="1"/>
      <c r="K8" s="1"/>
      <c r="L8" s="1"/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4" t="s">
        <v>80</v>
      </c>
      <c r="Z8" s="4" t="s">
        <v>80</v>
      </c>
      <c r="AA8" s="5"/>
      <c r="AB8" s="1"/>
      <c r="AC8" s="1"/>
      <c r="AD8" s="1"/>
      <c r="AE8" s="1"/>
      <c r="AF8" s="1"/>
      <c r="AG8" s="1"/>
      <c r="AH8" s="1"/>
    </row>
    <row r="9" spans="1:42" x14ac:dyDescent="0.25">
      <c r="A9" s="4">
        <v>6</v>
      </c>
      <c r="B9" s="4"/>
      <c r="C9" s="4" t="s">
        <v>87</v>
      </c>
      <c r="D9" s="4" t="s">
        <v>82</v>
      </c>
      <c r="E9" s="4"/>
      <c r="F9" s="1"/>
      <c r="G9" s="1"/>
      <c r="H9" s="1"/>
      <c r="I9" s="1"/>
      <c r="J9" s="1"/>
      <c r="K9" s="1"/>
      <c r="L9" s="1"/>
      <c r="M9" s="1"/>
      <c r="O9" s="1"/>
      <c r="P9" s="1"/>
      <c r="Q9" s="1"/>
      <c r="R9" s="1"/>
      <c r="S9" s="1"/>
      <c r="T9" s="1"/>
      <c r="U9" s="1"/>
      <c r="V9" s="1"/>
      <c r="W9" s="1"/>
      <c r="X9" s="1"/>
      <c r="Y9" s="4" t="s">
        <v>80</v>
      </c>
      <c r="Z9" s="4" t="s">
        <v>80</v>
      </c>
      <c r="AA9" s="5"/>
      <c r="AB9" s="1"/>
      <c r="AC9" s="1"/>
      <c r="AD9" s="1"/>
      <c r="AE9" s="1"/>
      <c r="AF9" s="1"/>
      <c r="AG9" s="1"/>
      <c r="AH9" s="1"/>
    </row>
    <row r="10" spans="1:42" ht="40.5" x14ac:dyDescent="0.25">
      <c r="A10" s="4">
        <v>7</v>
      </c>
      <c r="B10" s="4"/>
      <c r="C10" s="4" t="s">
        <v>4</v>
      </c>
      <c r="E10" s="4" t="s">
        <v>88</v>
      </c>
      <c r="F10" s="1"/>
      <c r="G10" s="1"/>
      <c r="H10" s="1"/>
      <c r="I10" s="1"/>
      <c r="J10" s="1"/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4" t="s">
        <v>80</v>
      </c>
      <c r="Z10" s="4" t="s">
        <v>80</v>
      </c>
      <c r="AA10" s="5"/>
      <c r="AB10" s="1"/>
      <c r="AC10" s="1"/>
      <c r="AD10" s="1"/>
      <c r="AE10" s="1"/>
      <c r="AF10" s="1"/>
      <c r="AG10" s="1"/>
      <c r="AH10" s="1"/>
    </row>
    <row r="11" spans="1:42" ht="135" x14ac:dyDescent="0.25">
      <c r="A11" s="4">
        <v>8</v>
      </c>
      <c r="B11" s="4"/>
      <c r="C11" s="4" t="s">
        <v>89</v>
      </c>
      <c r="D11" s="4" t="str">
        <f>C1&amp;":"&amp;C12&amp;"|"&amp;F1&amp;":"&amp;F12&amp;"(Heading1:Data1|Heading2:Data... if data blank ignore.... Heading to be covered are Type,RefNo or CA 97, CSV Seqno/CA 98, CA3, CA8,Len 1, Axis .... BRlen"</f>
        <v>Type:FLANGE|REF NO.:=67130482/1666(Heading1:Data1|Heading2:Data... if data blank ignore.... Heading to be covered are Type,RefNo or CA 97, CSV Seqno/CA 98, CA3, CA8,Len 1, Axis .... BRlen</v>
      </c>
      <c r="E11" s="4"/>
      <c r="F11" s="1"/>
      <c r="G11" s="1"/>
      <c r="H11" s="1"/>
      <c r="I11" s="1"/>
      <c r="J11" s="1"/>
      <c r="K11" s="1"/>
      <c r="L11" s="1"/>
      <c r="M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"/>
      <c r="Z11" s="4"/>
      <c r="AA11" s="5"/>
      <c r="AB11" s="1"/>
      <c r="AC11" s="1"/>
      <c r="AD11" s="1"/>
      <c r="AE11" s="1"/>
      <c r="AF11" s="1"/>
      <c r="AG11" s="1"/>
      <c r="AH11" s="1"/>
    </row>
    <row r="12" spans="1:42" x14ac:dyDescent="0.25">
      <c r="A12" s="4">
        <v>10</v>
      </c>
      <c r="B12" s="4">
        <v>1</v>
      </c>
      <c r="C12" s="4" t="s">
        <v>90</v>
      </c>
      <c r="E12" s="4"/>
      <c r="F12" s="6" t="s">
        <v>91</v>
      </c>
      <c r="G12">
        <v>400</v>
      </c>
      <c r="H12" t="s">
        <v>92</v>
      </c>
      <c r="I12" t="s">
        <v>93</v>
      </c>
      <c r="O12" t="s">
        <v>94</v>
      </c>
      <c r="P12" t="s">
        <v>95</v>
      </c>
      <c r="Q12" t="s">
        <v>96</v>
      </c>
      <c r="R12" t="s">
        <v>97</v>
      </c>
      <c r="S12" t="s">
        <v>98</v>
      </c>
      <c r="T12" t="s">
        <v>99</v>
      </c>
      <c r="V12" t="s">
        <v>100</v>
      </c>
      <c r="W12" t="s">
        <v>101</v>
      </c>
      <c r="X12" t="s">
        <v>102</v>
      </c>
      <c r="Y12" s="4" t="s">
        <v>80</v>
      </c>
      <c r="Z12" s="4" t="s">
        <v>80</v>
      </c>
      <c r="AA12" s="5"/>
      <c r="AD12">
        <v>-146</v>
      </c>
      <c r="AE12" t="s">
        <v>103</v>
      </c>
    </row>
    <row r="13" spans="1:42" ht="27" x14ac:dyDescent="0.25">
      <c r="A13" s="4">
        <v>11</v>
      </c>
      <c r="B13" s="4"/>
      <c r="C13" s="4" t="s">
        <v>89</v>
      </c>
      <c r="D13" s="4" t="s">
        <v>104</v>
      </c>
      <c r="E13" s="4"/>
      <c r="F13" s="6"/>
      <c r="Y13" s="4"/>
      <c r="Z13" s="4"/>
      <c r="AA13" s="5"/>
    </row>
    <row r="14" spans="1:42" x14ac:dyDescent="0.25">
      <c r="A14" s="4">
        <v>12</v>
      </c>
      <c r="B14" s="4">
        <v>2</v>
      </c>
      <c r="C14" s="4" t="s">
        <v>105</v>
      </c>
      <c r="D14" s="4"/>
      <c r="E14" s="4"/>
      <c r="F14" s="6" t="s">
        <v>106</v>
      </c>
      <c r="G14">
        <v>400</v>
      </c>
      <c r="H14" t="s">
        <v>93</v>
      </c>
      <c r="I14" t="s">
        <v>107</v>
      </c>
      <c r="O14" t="s">
        <v>94</v>
      </c>
      <c r="P14" t="s">
        <v>95</v>
      </c>
      <c r="Q14" t="s">
        <v>96</v>
      </c>
      <c r="R14" t="s">
        <v>97</v>
      </c>
      <c r="S14" t="s">
        <v>98</v>
      </c>
      <c r="T14" t="s">
        <v>99</v>
      </c>
      <c r="W14" t="s">
        <v>101</v>
      </c>
      <c r="X14" t="s">
        <v>102</v>
      </c>
      <c r="Y14" s="4" t="s">
        <v>80</v>
      </c>
      <c r="Z14" s="4" t="s">
        <v>80</v>
      </c>
      <c r="AA14" s="5"/>
      <c r="AD14">
        <v>-654</v>
      </c>
      <c r="AE14" t="s">
        <v>103</v>
      </c>
    </row>
    <row r="15" spans="1:42" ht="27" x14ac:dyDescent="0.25">
      <c r="A15" s="4"/>
      <c r="B15" s="4"/>
      <c r="C15" s="4" t="s">
        <v>89</v>
      </c>
      <c r="D15" s="4" t="s">
        <v>104</v>
      </c>
      <c r="E15" s="4"/>
      <c r="F15" s="6"/>
      <c r="Y15" s="4"/>
      <c r="Z15" s="4"/>
      <c r="AA15" s="5"/>
    </row>
    <row r="16" spans="1:42" x14ac:dyDescent="0.25">
      <c r="A16" s="4">
        <v>13</v>
      </c>
      <c r="B16" s="4">
        <v>3</v>
      </c>
      <c r="C16" s="4" t="s">
        <v>108</v>
      </c>
      <c r="D16" s="4"/>
      <c r="E16" s="4"/>
      <c r="F16" s="6" t="s">
        <v>109</v>
      </c>
      <c r="G16">
        <v>350</v>
      </c>
      <c r="H16" t="s">
        <v>110</v>
      </c>
      <c r="I16" t="s">
        <v>111</v>
      </c>
      <c r="N16" t="s">
        <v>112</v>
      </c>
      <c r="O16" t="s">
        <v>94</v>
      </c>
      <c r="P16" t="s">
        <v>95</v>
      </c>
      <c r="Q16" t="s">
        <v>96</v>
      </c>
      <c r="R16" t="s">
        <v>97</v>
      </c>
      <c r="S16" t="s">
        <v>98</v>
      </c>
      <c r="T16" t="s">
        <v>99</v>
      </c>
      <c r="W16" t="s">
        <v>101</v>
      </c>
      <c r="X16" t="s">
        <v>102</v>
      </c>
      <c r="Y16" s="4" t="s">
        <v>80</v>
      </c>
      <c r="Z16" s="4" t="s">
        <v>80</v>
      </c>
      <c r="AA16" s="5"/>
      <c r="AF16">
        <v>150</v>
      </c>
      <c r="AG16" t="s">
        <v>113</v>
      </c>
    </row>
    <row r="17" spans="1:33" ht="27" x14ac:dyDescent="0.25">
      <c r="A17" s="4">
        <v>14</v>
      </c>
      <c r="B17" s="4"/>
      <c r="C17" s="4" t="s">
        <v>89</v>
      </c>
      <c r="D17" s="4" t="s">
        <v>104</v>
      </c>
      <c r="E17" s="4"/>
      <c r="F17" s="6"/>
      <c r="Y17" s="4"/>
      <c r="Z17" s="4"/>
      <c r="AA17" s="5"/>
    </row>
    <row r="18" spans="1:33" x14ac:dyDescent="0.25">
      <c r="A18" s="7">
        <v>17</v>
      </c>
      <c r="B18" s="7">
        <v>5</v>
      </c>
      <c r="C18" s="7" t="s">
        <v>114</v>
      </c>
      <c r="D18" s="7"/>
      <c r="E18" s="7"/>
      <c r="F18" s="6" t="s">
        <v>115</v>
      </c>
      <c r="G18">
        <v>350</v>
      </c>
      <c r="H18" t="s">
        <v>111</v>
      </c>
      <c r="I18" t="s">
        <v>116</v>
      </c>
      <c r="J18" t="s">
        <v>117</v>
      </c>
      <c r="O18" t="s">
        <v>94</v>
      </c>
      <c r="P18" t="s">
        <v>95</v>
      </c>
      <c r="Q18" t="s">
        <v>96</v>
      </c>
      <c r="R18" t="s">
        <v>97</v>
      </c>
      <c r="S18" t="s">
        <v>98</v>
      </c>
      <c r="T18" t="s">
        <v>99</v>
      </c>
      <c r="W18" t="s">
        <v>101</v>
      </c>
      <c r="X18" t="s">
        <v>102</v>
      </c>
      <c r="Y18" s="8" t="s">
        <v>118</v>
      </c>
      <c r="Z18" s="4">
        <v>15</v>
      </c>
      <c r="AA18" s="5"/>
      <c r="AB18">
        <v>-533</v>
      </c>
      <c r="AC18" t="s">
        <v>119</v>
      </c>
      <c r="AF18">
        <v>533</v>
      </c>
      <c r="AG18" t="s">
        <v>113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Krishnamurthy, Lakshmanan</cp:lastModifiedBy>
  <cp:revision>1</cp:revision>
  <dcterms:modified xsi:type="dcterms:W3CDTF">2026-03-08T18:24:30Z</dcterms:modified>
</cp:coreProperties>
</file>